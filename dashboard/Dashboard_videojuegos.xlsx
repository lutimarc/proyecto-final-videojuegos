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ePower\Proyecto final\dashboard\"/>
    </mc:Choice>
  </mc:AlternateContent>
  <xr:revisionPtr revIDLastSave="0" documentId="13_ncr:1_{B3BDA285-9667-42BD-8042-622C3486A6ED}" xr6:coauthVersionLast="47" xr6:coauthVersionMax="47" xr10:uidLastSave="{00000000-0000-0000-0000-000000000000}"/>
  <bookViews>
    <workbookView xWindow="38280" yWindow="-6165" windowWidth="38640" windowHeight="21120" xr2:uid="{00000000-000D-0000-FFFF-FFFF00000000}"/>
  </bookViews>
  <sheets>
    <sheet name="Dashboard" sheetId="1" r:id="rId1"/>
    <sheet name="Datos mensu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39" i="1"/>
  <c r="C38" i="1"/>
  <c r="C37" i="1"/>
  <c r="C36" i="1"/>
  <c r="C35" i="1"/>
  <c r="C34" i="1"/>
  <c r="C33" i="1"/>
  <c r="C32" i="1"/>
  <c r="C31" i="1"/>
  <c r="C30" i="1"/>
  <c r="C29" i="1"/>
  <c r="C28" i="1"/>
  <c r="B7" i="1"/>
  <c r="C24" i="1" l="1"/>
  <c r="B24" i="1"/>
  <c r="C23" i="1"/>
  <c r="B23" i="1"/>
  <c r="C22" i="1"/>
  <c r="B22" i="1"/>
  <c r="C21" i="1"/>
  <c r="B21" i="1"/>
  <c r="C20" i="1"/>
  <c r="B20" i="1"/>
  <c r="C19" i="1"/>
  <c r="B19" i="1"/>
  <c r="B17" i="1"/>
  <c r="B16" i="1"/>
  <c r="B15" i="1"/>
  <c r="E10" i="1"/>
  <c r="B10" i="1"/>
  <c r="C18" i="1"/>
  <c r="B18" i="1"/>
  <c r="C17" i="1"/>
  <c r="C16" i="1"/>
  <c r="C15" i="1"/>
  <c r="I10" i="1"/>
</calcChain>
</file>

<file path=xl/sharedStrings.xml><?xml version="1.0" encoding="utf-8"?>
<sst xmlns="http://schemas.openxmlformats.org/spreadsheetml/2006/main" count="290" uniqueCount="96">
  <si>
    <t>Actividad de videojuegos en Steam</t>
  </si>
  <si>
    <t>Enero de 2024–septiembre de 2025 | Muestra constante de 2.778 videojuegos</t>
  </si>
  <si>
    <t>Año</t>
  </si>
  <si>
    <t>Mes</t>
  </si>
  <si>
    <t>09</t>
  </si>
  <si>
    <t>Cambia las celdas amarillas</t>
  </si>
  <si>
    <t>Videojuegos</t>
  </si>
  <si>
    <t>Suma jugadores medios</t>
  </si>
  <si>
    <t>Mediana por juego</t>
  </si>
  <si>
    <t>Jugadores simultáneos. Las cifras no representan personas únicas ni todo Steam.</t>
  </si>
  <si>
    <t>Top 10 del mes</t>
  </si>
  <si>
    <t>Jugadores medios</t>
  </si>
  <si>
    <t>Mes del año elegido</t>
  </si>
  <si>
    <t>01</t>
  </si>
  <si>
    <t>02</t>
  </si>
  <si>
    <t>03</t>
  </si>
  <si>
    <t>04</t>
  </si>
  <si>
    <t>05</t>
  </si>
  <si>
    <t>06</t>
  </si>
  <si>
    <t>07</t>
  </si>
  <si>
    <t>2025 solo incluye enero–septiembre.</t>
  </si>
  <si>
    <t>08</t>
  </si>
  <si>
    <t>#N/A indica un mes sin datos, no cero jugadores.</t>
  </si>
  <si>
    <t>Top 10: cambia con el año y mes elegidos.</t>
  </si>
  <si>
    <t>10</t>
  </si>
  <si>
    <t>Gráfico: cambia con el año elegido.</t>
  </si>
  <si>
    <t>11</t>
  </si>
  <si>
    <t>12</t>
  </si>
  <si>
    <t>Fila del periodo</t>
  </si>
  <si>
    <t>Periodo</t>
  </si>
  <si>
    <t>Juego 1</t>
  </si>
  <si>
    <t>Media 1</t>
  </si>
  <si>
    <t>Juego 2</t>
  </si>
  <si>
    <t>Media 2</t>
  </si>
  <si>
    <t>Juego 3</t>
  </si>
  <si>
    <t>Media 3</t>
  </si>
  <si>
    <t>Juego 4</t>
  </si>
  <si>
    <t>Media 4</t>
  </si>
  <si>
    <t>Juego 5</t>
  </si>
  <si>
    <t>Media 5</t>
  </si>
  <si>
    <t>Juego 6</t>
  </si>
  <si>
    <t>Media 6</t>
  </si>
  <si>
    <t>Juego 7</t>
  </si>
  <si>
    <t>Media 7</t>
  </si>
  <si>
    <t>Juego 8</t>
  </si>
  <si>
    <t>Media 8</t>
  </si>
  <si>
    <t>Juego 9</t>
  </si>
  <si>
    <t>Media 9</t>
  </si>
  <si>
    <t>Juego 10</t>
  </si>
  <si>
    <t>Media 10</t>
  </si>
  <si>
    <t>2024-01</t>
  </si>
  <si>
    <t>Counter-Strike 2</t>
  </si>
  <si>
    <t>PUBG: BATTLEGROUNDS</t>
  </si>
  <si>
    <t>Grand Theft Auto V Legacy</t>
  </si>
  <si>
    <t>Team Fortress 2</t>
  </si>
  <si>
    <t>Rust</t>
  </si>
  <si>
    <t>Monster Hunter: World</t>
  </si>
  <si>
    <t>War Thunder</t>
  </si>
  <si>
    <t>Warframe</t>
  </si>
  <si>
    <t>Unturned</t>
  </si>
  <si>
    <t>Tom Clancy's Rainbow Six® Siege</t>
  </si>
  <si>
    <t>2024-02</t>
  </si>
  <si>
    <t>2024-03</t>
  </si>
  <si>
    <t>Stardew Valley</t>
  </si>
  <si>
    <t>2024-04</t>
  </si>
  <si>
    <t>Fallout 4</t>
  </si>
  <si>
    <t>Path of Exile</t>
  </si>
  <si>
    <t>2024-05</t>
  </si>
  <si>
    <t>2024-06</t>
  </si>
  <si>
    <t>Sid Meier’s Civilization® VI</t>
  </si>
  <si>
    <t>Dead by Daylight</t>
  </si>
  <si>
    <t>2024-07</t>
  </si>
  <si>
    <t>7 Days to Die</t>
  </si>
  <si>
    <t>2024-08</t>
  </si>
  <si>
    <t>2024-09</t>
  </si>
  <si>
    <t>Satisfactory</t>
  </si>
  <si>
    <t>2024-10</t>
  </si>
  <si>
    <t>2024-11</t>
  </si>
  <si>
    <t>Factorio</t>
  </si>
  <si>
    <t>2024-12</t>
  </si>
  <si>
    <t>2025-01</t>
  </si>
  <si>
    <t>2025-02</t>
  </si>
  <si>
    <t>2025-03</t>
  </si>
  <si>
    <t>DayZ</t>
  </si>
  <si>
    <t>2025-04</t>
  </si>
  <si>
    <t>2025-05</t>
  </si>
  <si>
    <t>2025-06</t>
  </si>
  <si>
    <t>2025-07</t>
  </si>
  <si>
    <t>RimWorld</t>
  </si>
  <si>
    <t>2025-08</t>
  </si>
  <si>
    <t>2025-09</t>
  </si>
  <si>
    <t>Hollow Knight</t>
  </si>
  <si>
    <t>Fuente del catálogo: https://www.kaggle.com/datasets/artermiloff/steam-games-dataset</t>
  </si>
  <si>
    <t>Fuente de actividad: https://www.kaggle.com/datasets/lunthu/steam-monthly-average-players</t>
  </si>
  <si>
    <t>Resúmenes de Python: 2.778 videojuegos con los 21 meses completos.</t>
  </si>
  <si>
    <t>El ranking se calcula para cada mes. La suma no representa personas únicas ni todo Steam.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</si>
</sst>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rial"/>
    </font>
    <font>
      <b/>
      <sz val="17"/>
      <color rgb="FF17365D"/>
      <name val="Arial"/>
    </font>
    <font>
      <b/>
      <sz val="16"/>
      <color rgb="FF17365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3" fontId="3" fillId="0" borderId="0" xfId="0" applyNumberFormat="1" applyFont="1"/>
    <xf numFmtId="3" fontId="1" fillId="0" borderId="0" xfId="0" applyNumberFormat="1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Evolución del año seleccionado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Suma jugadores medios</c:v>
          </c:tx>
          <c:spPr>
            <a:ln w="19050">
              <a:solidFill>
                <a:srgbClr val="2878A0"/>
              </a:solidFill>
            </a:ln>
          </c:spPr>
          <c:marker>
            <c:symbol val="none"/>
          </c:marker>
          <c:cat>
            <c:strRef>
              <c:f>Dashboard!$B$28:$B$39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Dashboard!$C$28:$C$39</c:f>
              <c:numCache>
                <c:formatCode>#,##0</c:formatCode>
                <c:ptCount val="12"/>
                <c:pt idx="0">
                  <c:v>3419875.8999999994</c:v>
                </c:pt>
                <c:pt idx="1">
                  <c:v>3382182.02</c:v>
                </c:pt>
                <c:pt idx="2">
                  <c:v>3358597.2800000003</c:v>
                </c:pt>
                <c:pt idx="3">
                  <c:v>3168002.92</c:v>
                </c:pt>
                <c:pt idx="4">
                  <c:v>3157307.5500000003</c:v>
                </c:pt>
                <c:pt idx="5">
                  <c:v>3298497.9499999997</c:v>
                </c:pt>
                <c:pt idx="6">
                  <c:v>3282124.11</c:v>
                </c:pt>
                <c:pt idx="7">
                  <c:v>3195030.59</c:v>
                </c:pt>
                <c:pt idx="8">
                  <c:v>3034984.75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D-495F-8E4B-BB8F3067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Mensuales" displayName="DatosMensuales" ref="A1:X22" totalsRowShown="0">
  <tableColumns count="24">
    <tableColumn id="1" xr3:uid="{00000000-0010-0000-0000-000001000000}" name="Periodo"/>
    <tableColumn id="2" xr3:uid="{00000000-0010-0000-0000-000002000000}" name="Videojuegos"/>
    <tableColumn id="3" xr3:uid="{00000000-0010-0000-0000-000003000000}" name="Suma jugadores medios"/>
    <tableColumn id="4" xr3:uid="{00000000-0010-0000-0000-000004000000}" name="Mediana por juego"/>
    <tableColumn id="5" xr3:uid="{00000000-0010-0000-0000-000005000000}" name="Juego 1"/>
    <tableColumn id="6" xr3:uid="{00000000-0010-0000-0000-000006000000}" name="Media 1"/>
    <tableColumn id="7" xr3:uid="{00000000-0010-0000-0000-000007000000}" name="Juego 2"/>
    <tableColumn id="8" xr3:uid="{00000000-0010-0000-0000-000008000000}" name="Media 2"/>
    <tableColumn id="9" xr3:uid="{00000000-0010-0000-0000-000009000000}" name="Juego 3"/>
    <tableColumn id="10" xr3:uid="{00000000-0010-0000-0000-00000A000000}" name="Media 3"/>
    <tableColumn id="11" xr3:uid="{00000000-0010-0000-0000-00000B000000}" name="Juego 4"/>
    <tableColumn id="12" xr3:uid="{00000000-0010-0000-0000-00000C000000}" name="Media 4"/>
    <tableColumn id="13" xr3:uid="{00000000-0010-0000-0000-00000D000000}" name="Juego 5"/>
    <tableColumn id="14" xr3:uid="{00000000-0010-0000-0000-00000E000000}" name="Media 5"/>
    <tableColumn id="15" xr3:uid="{00000000-0010-0000-0000-00000F000000}" name="Juego 6"/>
    <tableColumn id="16" xr3:uid="{00000000-0010-0000-0000-000010000000}" name="Media 6"/>
    <tableColumn id="17" xr3:uid="{00000000-0010-0000-0000-000011000000}" name="Juego 7"/>
    <tableColumn id="18" xr3:uid="{00000000-0010-0000-0000-000012000000}" name="Media 7"/>
    <tableColumn id="19" xr3:uid="{00000000-0010-0000-0000-000013000000}" name="Juego 8"/>
    <tableColumn id="20" xr3:uid="{00000000-0010-0000-0000-000014000000}" name="Media 8"/>
    <tableColumn id="21" xr3:uid="{00000000-0010-0000-0000-000015000000}" name="Juego 9"/>
    <tableColumn id="22" xr3:uid="{00000000-0010-0000-0000-000016000000}" name="Media 9"/>
    <tableColumn id="23" xr3:uid="{00000000-0010-0000-0000-000017000000}" name="Juego 10"/>
    <tableColumn id="24" xr3:uid="{00000000-0010-0000-0000-000018000000}" name="Media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tabSelected="1" workbookViewId="0"/>
  </sheetViews>
  <sheetFormatPr baseColWidth="10" defaultColWidth="9" defaultRowHeight="14.25"/>
  <cols>
    <col min="1" max="1" width="12" customWidth="1"/>
    <col min="2" max="2" width="39" customWidth="1"/>
    <col min="3" max="3" width="19" customWidth="1"/>
    <col min="4" max="12" width="12" customWidth="1"/>
  </cols>
  <sheetData>
    <row r="1" spans="1:12" ht="23.1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3.1" customHeight="1">
      <c r="A2" s="3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3.1" customHeight="1">
      <c r="A3" s="3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3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3.1" customHeight="1">
      <c r="A5" s="3"/>
      <c r="B5" s="3" t="s">
        <v>2</v>
      </c>
      <c r="C5" s="5">
        <v>2025</v>
      </c>
      <c r="D5" s="3"/>
      <c r="E5" s="3" t="s">
        <v>3</v>
      </c>
      <c r="F5" s="6" t="s">
        <v>4</v>
      </c>
      <c r="G5" s="3"/>
      <c r="H5" s="3" t="s">
        <v>5</v>
      </c>
      <c r="I5" s="3"/>
      <c r="J5" s="3"/>
      <c r="K5" s="3"/>
      <c r="L5" s="3"/>
    </row>
    <row r="6" spans="1:12" ht="23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3.1" customHeight="1">
      <c r="A7" s="3"/>
      <c r="B7" s="3" t="str">
        <f>IF(COUNTIF('Datos mensuales'!A2:A22,C5&amp;"-"&amp;TEXT(F5,"00"))=0,"Sin datos para este mes","Periodo: "&amp;C5&amp;"-"&amp;TEXT(F5,"00"))</f>
        <v>Periodo: 2025-09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3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3.1" customHeight="1">
      <c r="A9" s="3"/>
      <c r="B9" s="3" t="s">
        <v>6</v>
      </c>
      <c r="C9" s="3"/>
      <c r="D9" s="3"/>
      <c r="E9" s="3" t="s">
        <v>7</v>
      </c>
      <c r="F9" s="3"/>
      <c r="G9" s="3"/>
      <c r="H9" s="3"/>
      <c r="I9" s="3" t="s">
        <v>8</v>
      </c>
      <c r="J9" s="3"/>
      <c r="K9" s="3"/>
      <c r="L9" s="3"/>
    </row>
    <row r="10" spans="1:12" ht="23.1" customHeight="1">
      <c r="A10" s="3"/>
      <c r="B10" s="7">
        <f>IF(D40=0,"Sin datos",INDEX('Datos mensuales'!B2:B22,D40))</f>
        <v>2778</v>
      </c>
      <c r="C10" s="3"/>
      <c r="D10" s="3"/>
      <c r="E10" s="7">
        <f>IF(D40=0,"Sin datos",INDEX('Datos mensuales'!C2:C22,D40))</f>
        <v>3034984.75</v>
      </c>
      <c r="F10" s="3"/>
      <c r="G10" s="3"/>
      <c r="H10" s="3"/>
      <c r="I10" s="7">
        <f>IF(D40=0,"Sin datos",INDEX('Datos mensuales'!D2:D22,D40))</f>
        <v>20.664999999999999</v>
      </c>
      <c r="J10" s="3"/>
      <c r="K10" s="3"/>
      <c r="L10" s="3"/>
    </row>
    <row r="11" spans="1:12" ht="23.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3.1" customHeight="1">
      <c r="A12" s="3"/>
      <c r="B12" s="3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3.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3.1" customHeight="1">
      <c r="A14" s="3"/>
      <c r="B14" s="9" t="s">
        <v>10</v>
      </c>
      <c r="C14" s="9" t="s">
        <v>11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ht="23.1" customHeight="1">
      <c r="A15" s="3"/>
      <c r="B15" s="3" t="str">
        <f>IF($D$40=0,"Sin datos",INDEX('Datos mensuales'!E2:E22,$D$40))</f>
        <v>Counter-Strike 2</v>
      </c>
      <c r="C15" s="8">
        <f>IF($D$40=0,"",INDEX('Datos mensuales'!F2:F22,$D$40))</f>
        <v>925940.31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ht="23.1" customHeight="1">
      <c r="A16" s="3"/>
      <c r="B16" s="3" t="str">
        <f>IF($D$40=0,"Sin datos",INDEX('Datos mensuales'!G2:G22,$D$40))</f>
        <v>PUBG: BATTLEGROUNDS</v>
      </c>
      <c r="C16" s="8">
        <f>IF($D$40=0,"",INDEX('Datos mensuales'!H2:H22,$D$40))</f>
        <v>278095.62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23.1" customHeight="1">
      <c r="A17" s="3"/>
      <c r="B17" s="3" t="str">
        <f>IF($D$40=0,"Sin datos",INDEX('Datos mensuales'!I2:I22,$D$40))</f>
        <v>Rust</v>
      </c>
      <c r="C17" s="8">
        <f>IF($D$40=0,"",INDEX('Datos mensuales'!J2:J22,$D$40))</f>
        <v>85515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23.1" customHeight="1">
      <c r="A18" s="3"/>
      <c r="B18" s="3" t="str">
        <f>IF($D$40=0,"Sin datos",INDEX('Datos mensuales'!K2:K22,$D$40))</f>
        <v>Stardew Valley</v>
      </c>
      <c r="C18" s="8">
        <f>IF($D$40=0,"",INDEX('Datos mensuales'!L2:L22,$D$40))</f>
        <v>58648.51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23.1" customHeight="1">
      <c r="A19" s="3"/>
      <c r="B19" s="3" t="str">
        <f>IF($D$40=0,"Sin datos",INDEX('Datos mensuales'!M2:M22,$D$40))</f>
        <v>Grand Theft Auto V Legacy</v>
      </c>
      <c r="C19" s="8">
        <f>IF($D$40=0,"",INDEX('Datos mensuales'!N2:N22,$D$40))</f>
        <v>55605.21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23.1" customHeight="1">
      <c r="A20" s="3"/>
      <c r="B20" s="3" t="str">
        <f>IF($D$40=0,"Sin datos",INDEX('Datos mensuales'!O2:O22,$D$40))</f>
        <v>Tom Clancy's Rainbow Six® Siege</v>
      </c>
      <c r="C20" s="8">
        <f>IF($D$40=0,"",INDEX('Datos mensuales'!P2:P22,$D$40))</f>
        <v>51338.59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23.1" customHeight="1">
      <c r="A21" s="3"/>
      <c r="B21" s="3" t="str">
        <f>IF($D$40=0,"Sin datos",INDEX('Datos mensuales'!Q2:Q22,$D$40))</f>
        <v>Hollow Knight</v>
      </c>
      <c r="C21" s="8">
        <f>IF($D$40=0,"",INDEX('Datos mensuales'!R2:R22,$D$40))</f>
        <v>50741.52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23.1" customHeight="1">
      <c r="A22" s="3"/>
      <c r="B22" s="3" t="str">
        <f>IF($D$40=0,"Sin datos",INDEX('Datos mensuales'!S2:S22,$D$40))</f>
        <v>Team Fortress 2</v>
      </c>
      <c r="C22" s="8">
        <f>IF($D$40=0,"",INDEX('Datos mensuales'!T2:T22,$D$40))</f>
        <v>47672.62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23.1" customHeight="1">
      <c r="A23" s="3"/>
      <c r="B23" s="3" t="str">
        <f>IF($D$40=0,"Sin datos",INDEX('Datos mensuales'!U2:U22,$D$40))</f>
        <v>War Thunder</v>
      </c>
      <c r="C23" s="8">
        <f>IF($D$40=0,"",INDEX('Datos mensuales'!V2:V22,$D$40))</f>
        <v>47551.92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23.1" customHeight="1">
      <c r="A24" s="3"/>
      <c r="B24" s="3" t="str">
        <f>IF($D$40=0,"Sin datos",INDEX('Datos mensuales'!W2:W22,$D$40))</f>
        <v>Dead by Daylight</v>
      </c>
      <c r="C24" s="8">
        <f>IF($D$40=0,"",INDEX('Datos mensuales'!X2:X22,$D$40))</f>
        <v>47389.1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23.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3.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3.1" customHeight="1">
      <c r="A27" s="3"/>
      <c r="B27" s="3" t="s">
        <v>12</v>
      </c>
      <c r="C27" s="3" t="s">
        <v>7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23.1" customHeight="1">
      <c r="A28" s="3"/>
      <c r="B28" s="3" t="s">
        <v>13</v>
      </c>
      <c r="C28" s="8">
        <f>IF(COUNTIF('Datos mensuales'!$A$2:$A$22,$C$5&amp;"-"&amp;B28)=0,NA(),SUMIF('Datos mensuales'!$A$2:$A$22,$C$5&amp;"-"&amp;B28,'Datos mensuales'!$C$2:$C$22))</f>
        <v>3419875.8999999994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23.1" customHeight="1">
      <c r="A29" s="3"/>
      <c r="B29" s="3" t="s">
        <v>14</v>
      </c>
      <c r="C29" s="8">
        <f>IF(COUNTIF('Datos mensuales'!$A$2:$A$22,$C$5&amp;"-"&amp;B29)=0,NA(),SUMIF('Datos mensuales'!$A$2:$A$22,$C$5&amp;"-"&amp;B29,'Datos mensuales'!$C$2:$C$22))</f>
        <v>3382182.02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23.1" customHeight="1">
      <c r="A30" s="3"/>
      <c r="B30" s="3" t="s">
        <v>15</v>
      </c>
      <c r="C30" s="8">
        <f>IF(COUNTIF('Datos mensuales'!$A$2:$A$22,$C$5&amp;"-"&amp;B30)=0,NA(),SUMIF('Datos mensuales'!$A$2:$A$22,$C$5&amp;"-"&amp;B30,'Datos mensuales'!$C$2:$C$22))</f>
        <v>3358597.2800000003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23.1" customHeight="1">
      <c r="A31" s="3"/>
      <c r="B31" s="3" t="s">
        <v>16</v>
      </c>
      <c r="C31" s="8">
        <f>IF(COUNTIF('Datos mensuales'!$A$2:$A$22,$C$5&amp;"-"&amp;B31)=0,NA(),SUMIF('Datos mensuales'!$A$2:$A$22,$C$5&amp;"-"&amp;B31,'Datos mensuales'!$C$2:$C$22))</f>
        <v>3168002.92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23.1" customHeight="1">
      <c r="A32" s="3"/>
      <c r="B32" s="3" t="s">
        <v>17</v>
      </c>
      <c r="C32" s="8">
        <f>IF(COUNTIF('Datos mensuales'!$A$2:$A$22,$C$5&amp;"-"&amp;B32)=0,NA(),SUMIF('Datos mensuales'!$A$2:$A$22,$C$5&amp;"-"&amp;B32,'Datos mensuales'!$C$2:$C$22))</f>
        <v>3157307.5500000003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23.1" customHeight="1">
      <c r="A33" s="3"/>
      <c r="B33" s="3" t="s">
        <v>18</v>
      </c>
      <c r="C33" s="8">
        <f>IF(COUNTIF('Datos mensuales'!$A$2:$A$22,$C$5&amp;"-"&amp;B33)=0,NA(),SUMIF('Datos mensuales'!$A$2:$A$22,$C$5&amp;"-"&amp;B33,'Datos mensuales'!$C$2:$C$22))</f>
        <v>3298497.9499999997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23.1" customHeight="1">
      <c r="A34" s="3"/>
      <c r="B34" s="3" t="s">
        <v>19</v>
      </c>
      <c r="C34" s="8">
        <f>IF(COUNTIF('Datos mensuales'!$A$2:$A$22,$C$5&amp;"-"&amp;B34)=0,NA(),SUMIF('Datos mensuales'!$A$2:$A$22,$C$5&amp;"-"&amp;B34,'Datos mensuales'!$C$2:$C$22))</f>
        <v>3282124.11</v>
      </c>
      <c r="D34" s="3"/>
      <c r="E34" s="3" t="s">
        <v>20</v>
      </c>
      <c r="F34" s="3"/>
      <c r="G34" s="3"/>
      <c r="H34" s="3"/>
      <c r="I34" s="3"/>
      <c r="J34" s="3"/>
      <c r="K34" s="3"/>
      <c r="L34" s="3"/>
    </row>
    <row r="35" spans="1:12" ht="23.1" customHeight="1">
      <c r="A35" s="3"/>
      <c r="B35" s="3" t="s">
        <v>21</v>
      </c>
      <c r="C35" s="8">
        <f>IF(COUNTIF('Datos mensuales'!$A$2:$A$22,$C$5&amp;"-"&amp;B35)=0,NA(),SUMIF('Datos mensuales'!$A$2:$A$22,$C$5&amp;"-"&amp;B35,'Datos mensuales'!$C$2:$C$22))</f>
        <v>3195030.59</v>
      </c>
      <c r="D35" s="3"/>
      <c r="E35" s="3" t="s">
        <v>22</v>
      </c>
      <c r="F35" s="3"/>
      <c r="G35" s="3"/>
      <c r="H35" s="3"/>
      <c r="I35" s="3"/>
      <c r="J35" s="3"/>
      <c r="K35" s="3"/>
      <c r="L35" s="3"/>
    </row>
    <row r="36" spans="1:12" ht="23.1" customHeight="1">
      <c r="A36" s="3"/>
      <c r="B36" s="3" t="s">
        <v>4</v>
      </c>
      <c r="C36" s="8">
        <f>IF(COUNTIF('Datos mensuales'!$A$2:$A$22,$C$5&amp;"-"&amp;B36)=0,NA(),SUMIF('Datos mensuales'!$A$2:$A$22,$C$5&amp;"-"&amp;B36,'Datos mensuales'!$C$2:$C$22))</f>
        <v>3034984.75</v>
      </c>
      <c r="D36" s="3"/>
      <c r="E36" s="3" t="s">
        <v>23</v>
      </c>
      <c r="F36" s="3"/>
      <c r="G36" s="3"/>
      <c r="H36" s="3"/>
      <c r="I36" s="3"/>
      <c r="J36" s="3"/>
      <c r="K36" s="3"/>
      <c r="L36" s="3"/>
    </row>
    <row r="37" spans="1:12" ht="23.1" customHeight="1">
      <c r="A37" s="3"/>
      <c r="B37" s="3" t="s">
        <v>24</v>
      </c>
      <c r="C37" s="8" t="e">
        <f>IF(COUNTIF('Datos mensuales'!$A$2:$A$22,$C$5&amp;"-"&amp;B37)=0,NA(),SUMIF('Datos mensuales'!$A$2:$A$22,$C$5&amp;"-"&amp;B37,'Datos mensuales'!$C$2:$C$22))</f>
        <v>#N/A</v>
      </c>
      <c r="D37" s="3"/>
      <c r="E37" s="3" t="s">
        <v>25</v>
      </c>
      <c r="F37" s="3"/>
      <c r="G37" s="3"/>
      <c r="H37" s="3"/>
      <c r="I37" s="3"/>
      <c r="J37" s="3"/>
      <c r="K37" s="3"/>
      <c r="L37" s="3"/>
    </row>
    <row r="38" spans="1:12" ht="23.1" customHeight="1">
      <c r="A38" s="3"/>
      <c r="B38" s="3" t="s">
        <v>26</v>
      </c>
      <c r="C38" s="8" t="e">
        <f>IF(COUNTIF('Datos mensuales'!$A$2:$A$22,$C$5&amp;"-"&amp;B38)=0,NA(),SUMIF('Datos mensuales'!$A$2:$A$22,$C$5&amp;"-"&amp;B38,'Datos mensuales'!$C$2:$C$22))</f>
        <v>#N/A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23.1" customHeight="1">
      <c r="A39" s="3"/>
      <c r="B39" s="3" t="s">
        <v>27</v>
      </c>
      <c r="C39" s="8" t="e">
        <f>IF(COUNTIF('Datos mensuales'!$A$2:$A$22,$C$5&amp;"-"&amp;B39)=0,NA(),SUMIF('Datos mensuales'!$A$2:$A$22,$C$5&amp;"-"&amp;B39,'Datos mensuales'!$C$2:$C$22))</f>
        <v>#N/A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23.1" customHeight="1">
      <c r="A40" s="3"/>
      <c r="B40" s="3" t="s">
        <v>28</v>
      </c>
      <c r="C40" s="3"/>
      <c r="D40" s="3">
        <f>IFERROR(MATCH(C5&amp;"-"&amp;TEXT(F5,"00"),'Datos mensuales'!A2:A22,0),0)</f>
        <v>21</v>
      </c>
      <c r="E40" s="3"/>
      <c r="F40" s="3"/>
      <c r="G40" s="3"/>
      <c r="H40" s="3"/>
      <c r="I40" s="3"/>
      <c r="J40" s="3"/>
      <c r="K40" s="3"/>
      <c r="L40" s="3"/>
    </row>
    <row r="41" spans="1:12" ht="23.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23.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23.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dataValidations count="2">
    <dataValidation type="list" sqref="C5" xr:uid="{00000000-0002-0000-0000-000000000000}">
      <formula1>"2024,2025"</formula1>
    </dataValidation>
    <dataValidation type="list" sqref="F5" xr:uid="{00000000-0002-0000-0000-000001000000}">
      <formula1>"01,02,03,04,05,06,07,08,09,10,11,12"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4" width="23" customWidth="1"/>
  </cols>
  <sheetData>
    <row r="1" spans="1:24" ht="36" customHeight="1">
      <c r="A1" s="1" t="s">
        <v>29</v>
      </c>
      <c r="B1" s="1" t="s">
        <v>6</v>
      </c>
      <c r="C1" s="1" t="s">
        <v>7</v>
      </c>
      <c r="D1" s="1" t="s">
        <v>8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</row>
    <row r="2" spans="1:24">
      <c r="A2" t="s">
        <v>50</v>
      </c>
      <c r="B2" s="2">
        <v>2778</v>
      </c>
      <c r="C2" s="2">
        <v>3231740.95</v>
      </c>
      <c r="D2" s="2">
        <v>27.1</v>
      </c>
      <c r="E2" t="s">
        <v>51</v>
      </c>
      <c r="F2">
        <v>760859.23</v>
      </c>
      <c r="G2" t="s">
        <v>52</v>
      </c>
      <c r="H2">
        <v>249557.66</v>
      </c>
      <c r="I2" t="s">
        <v>53</v>
      </c>
      <c r="J2">
        <v>123806.19</v>
      </c>
      <c r="K2" t="s">
        <v>54</v>
      </c>
      <c r="L2">
        <v>94137.4</v>
      </c>
      <c r="M2" t="s">
        <v>55</v>
      </c>
      <c r="N2">
        <v>90065.279999999999</v>
      </c>
      <c r="O2" t="s">
        <v>56</v>
      </c>
      <c r="P2">
        <v>76512.759999999995</v>
      </c>
      <c r="Q2" t="s">
        <v>57</v>
      </c>
      <c r="R2">
        <v>66052.160000000003</v>
      </c>
      <c r="S2" t="s">
        <v>58</v>
      </c>
      <c r="T2">
        <v>64766.78</v>
      </c>
      <c r="U2" t="s">
        <v>59</v>
      </c>
      <c r="V2">
        <v>52385.54</v>
      </c>
      <c r="W2" t="s">
        <v>60</v>
      </c>
      <c r="X2">
        <v>50275.35</v>
      </c>
    </row>
    <row r="3" spans="1:24">
      <c r="A3" t="s">
        <v>61</v>
      </c>
      <c r="B3" s="2">
        <v>2778</v>
      </c>
      <c r="C3" s="2">
        <v>3005379.7899999996</v>
      </c>
      <c r="D3" s="2">
        <v>24.59</v>
      </c>
      <c r="E3" t="s">
        <v>51</v>
      </c>
      <c r="F3">
        <v>786630.82</v>
      </c>
      <c r="G3" t="s">
        <v>52</v>
      </c>
      <c r="H3">
        <v>250314.93</v>
      </c>
      <c r="I3" t="s">
        <v>53</v>
      </c>
      <c r="J3">
        <v>108198.07</v>
      </c>
      <c r="K3" t="s">
        <v>55</v>
      </c>
      <c r="L3">
        <v>82116.289999999994</v>
      </c>
      <c r="M3" t="s">
        <v>54</v>
      </c>
      <c r="N3">
        <v>70143.03</v>
      </c>
      <c r="O3" t="s">
        <v>57</v>
      </c>
      <c r="P3">
        <v>70092.17</v>
      </c>
      <c r="Q3" t="s">
        <v>58</v>
      </c>
      <c r="R3">
        <v>59247.77</v>
      </c>
      <c r="S3" t="s">
        <v>60</v>
      </c>
      <c r="T3">
        <v>57569.07</v>
      </c>
      <c r="U3" t="s">
        <v>59</v>
      </c>
      <c r="V3">
        <v>51701.17</v>
      </c>
      <c r="W3" t="s">
        <v>56</v>
      </c>
      <c r="X3">
        <v>45001.94</v>
      </c>
    </row>
    <row r="4" spans="1:24">
      <c r="A4" t="s">
        <v>62</v>
      </c>
      <c r="B4" s="2">
        <v>2778</v>
      </c>
      <c r="C4" s="2">
        <v>3263101.8900000006</v>
      </c>
      <c r="D4" s="2">
        <v>26.195</v>
      </c>
      <c r="E4" t="s">
        <v>51</v>
      </c>
      <c r="F4">
        <v>885629.69</v>
      </c>
      <c r="G4" t="s">
        <v>52</v>
      </c>
      <c r="H4">
        <v>281342.08000000002</v>
      </c>
      <c r="I4" t="s">
        <v>60</v>
      </c>
      <c r="J4">
        <v>105825.14</v>
      </c>
      <c r="K4" t="s">
        <v>53</v>
      </c>
      <c r="L4">
        <v>104563.67</v>
      </c>
      <c r="M4" t="s">
        <v>63</v>
      </c>
      <c r="N4">
        <v>82587.89</v>
      </c>
      <c r="O4" t="s">
        <v>55</v>
      </c>
      <c r="P4">
        <v>82242.759999999995</v>
      </c>
      <c r="Q4" t="s">
        <v>54</v>
      </c>
      <c r="R4">
        <v>59993.08</v>
      </c>
      <c r="S4" t="s">
        <v>57</v>
      </c>
      <c r="T4">
        <v>59463.58</v>
      </c>
      <c r="U4" t="s">
        <v>58</v>
      </c>
      <c r="V4">
        <v>50841.09</v>
      </c>
      <c r="W4" t="s">
        <v>59</v>
      </c>
      <c r="X4">
        <v>50674.63</v>
      </c>
    </row>
    <row r="5" spans="1:24">
      <c r="A5" t="s">
        <v>64</v>
      </c>
      <c r="B5" s="2">
        <v>2778</v>
      </c>
      <c r="C5" s="2">
        <v>3326582.8600000003</v>
      </c>
      <c r="D5" s="2">
        <v>23.76</v>
      </c>
      <c r="E5" t="s">
        <v>51</v>
      </c>
      <c r="F5">
        <v>930748.98</v>
      </c>
      <c r="G5" t="s">
        <v>52</v>
      </c>
      <c r="H5">
        <v>280853.21999999997</v>
      </c>
      <c r="I5" t="s">
        <v>63</v>
      </c>
      <c r="J5">
        <v>120133.84</v>
      </c>
      <c r="K5" t="s">
        <v>53</v>
      </c>
      <c r="L5">
        <v>95409.06</v>
      </c>
      <c r="M5" t="s">
        <v>60</v>
      </c>
      <c r="N5">
        <v>91493.17</v>
      </c>
      <c r="O5" t="s">
        <v>55</v>
      </c>
      <c r="P5">
        <v>80885.38</v>
      </c>
      <c r="Q5" t="s">
        <v>54</v>
      </c>
      <c r="R5">
        <v>64920.85</v>
      </c>
      <c r="S5" t="s">
        <v>65</v>
      </c>
      <c r="T5">
        <v>59102.06</v>
      </c>
      <c r="U5" t="s">
        <v>57</v>
      </c>
      <c r="V5">
        <v>53653.24</v>
      </c>
      <c r="W5" t="s">
        <v>66</v>
      </c>
      <c r="X5">
        <v>52644.22</v>
      </c>
    </row>
    <row r="6" spans="1:24">
      <c r="A6" t="s">
        <v>67</v>
      </c>
      <c r="B6" s="2">
        <v>2778</v>
      </c>
      <c r="C6" s="2">
        <v>3250259.2600000002</v>
      </c>
      <c r="D6" s="2">
        <v>23.13</v>
      </c>
      <c r="E6" t="s">
        <v>51</v>
      </c>
      <c r="F6">
        <v>958207.34</v>
      </c>
      <c r="G6" t="s">
        <v>52</v>
      </c>
      <c r="H6">
        <v>271364.21999999997</v>
      </c>
      <c r="I6" t="s">
        <v>53</v>
      </c>
      <c r="J6">
        <v>92747.839999999997</v>
      </c>
      <c r="K6" t="s">
        <v>63</v>
      </c>
      <c r="L6">
        <v>89016.93</v>
      </c>
      <c r="M6" t="s">
        <v>55</v>
      </c>
      <c r="N6">
        <v>82373.759999999995</v>
      </c>
      <c r="O6" t="s">
        <v>65</v>
      </c>
      <c r="P6">
        <v>76864.78</v>
      </c>
      <c r="Q6" t="s">
        <v>54</v>
      </c>
      <c r="R6">
        <v>72178.570000000007</v>
      </c>
      <c r="S6" t="s">
        <v>60</v>
      </c>
      <c r="T6">
        <v>60580.55</v>
      </c>
      <c r="U6" t="s">
        <v>57</v>
      </c>
      <c r="V6">
        <v>54038.13</v>
      </c>
      <c r="W6" t="s">
        <v>59</v>
      </c>
      <c r="X6">
        <v>52774.12</v>
      </c>
    </row>
    <row r="7" spans="1:24">
      <c r="A7" t="s">
        <v>68</v>
      </c>
      <c r="B7" s="2">
        <v>2778</v>
      </c>
      <c r="C7" s="2">
        <v>3291410.22</v>
      </c>
      <c r="D7" s="2">
        <v>23.605</v>
      </c>
      <c r="E7" t="s">
        <v>51</v>
      </c>
      <c r="F7">
        <v>947520.53</v>
      </c>
      <c r="G7" t="s">
        <v>52</v>
      </c>
      <c r="H7">
        <v>287498.52</v>
      </c>
      <c r="I7" t="s">
        <v>53</v>
      </c>
      <c r="J7">
        <v>102804.47</v>
      </c>
      <c r="K7" t="s">
        <v>55</v>
      </c>
      <c r="L7">
        <v>97860.84</v>
      </c>
      <c r="M7" t="s">
        <v>54</v>
      </c>
      <c r="N7">
        <v>78099.27</v>
      </c>
      <c r="O7" t="s">
        <v>63</v>
      </c>
      <c r="P7">
        <v>64005.98</v>
      </c>
      <c r="Q7" t="s">
        <v>57</v>
      </c>
      <c r="R7">
        <v>59152.3</v>
      </c>
      <c r="S7" t="s">
        <v>60</v>
      </c>
      <c r="T7">
        <v>57864.53</v>
      </c>
      <c r="U7" t="s">
        <v>69</v>
      </c>
      <c r="V7">
        <v>52902.63</v>
      </c>
      <c r="W7" t="s">
        <v>70</v>
      </c>
      <c r="X7">
        <v>44806.11</v>
      </c>
    </row>
    <row r="8" spans="1:24">
      <c r="A8" t="s">
        <v>71</v>
      </c>
      <c r="B8" s="2">
        <v>2778</v>
      </c>
      <c r="C8" s="2">
        <v>3334638.9999999995</v>
      </c>
      <c r="D8" s="2">
        <v>26.41</v>
      </c>
      <c r="E8" t="s">
        <v>51</v>
      </c>
      <c r="F8">
        <v>875365.08</v>
      </c>
      <c r="G8" t="s">
        <v>52</v>
      </c>
      <c r="H8">
        <v>293396.8</v>
      </c>
      <c r="I8" t="s">
        <v>53</v>
      </c>
      <c r="J8">
        <v>115603.54</v>
      </c>
      <c r="K8" t="s">
        <v>54</v>
      </c>
      <c r="L8">
        <v>97583.18</v>
      </c>
      <c r="M8" t="s">
        <v>55</v>
      </c>
      <c r="N8">
        <v>93180</v>
      </c>
      <c r="O8" t="s">
        <v>63</v>
      </c>
      <c r="P8">
        <v>82852.05</v>
      </c>
      <c r="Q8" t="s">
        <v>57</v>
      </c>
      <c r="R8">
        <v>56711.1</v>
      </c>
      <c r="S8" t="s">
        <v>72</v>
      </c>
      <c r="T8">
        <v>53782.46</v>
      </c>
      <c r="U8" t="s">
        <v>60</v>
      </c>
      <c r="V8">
        <v>52112.55</v>
      </c>
      <c r="W8" t="s">
        <v>69</v>
      </c>
      <c r="X8">
        <v>51372.18</v>
      </c>
    </row>
    <row r="9" spans="1:24">
      <c r="A9" t="s">
        <v>73</v>
      </c>
      <c r="B9" s="2">
        <v>2778</v>
      </c>
      <c r="C9" s="2">
        <v>3264876.5500000003</v>
      </c>
      <c r="D9" s="2">
        <v>23.67</v>
      </c>
      <c r="E9" t="s">
        <v>51</v>
      </c>
      <c r="F9">
        <v>897337.88</v>
      </c>
      <c r="G9" t="s">
        <v>52</v>
      </c>
      <c r="H9">
        <v>285247.46999999997</v>
      </c>
      <c r="I9" t="s">
        <v>53</v>
      </c>
      <c r="J9">
        <v>116181.25</v>
      </c>
      <c r="K9" t="s">
        <v>55</v>
      </c>
      <c r="L9">
        <v>90633.01</v>
      </c>
      <c r="M9" t="s">
        <v>66</v>
      </c>
      <c r="N9">
        <v>76501.490000000005</v>
      </c>
      <c r="O9" t="s">
        <v>63</v>
      </c>
      <c r="P9">
        <v>65571.14</v>
      </c>
      <c r="Q9" t="s">
        <v>54</v>
      </c>
      <c r="R9">
        <v>63648.29</v>
      </c>
      <c r="S9" t="s">
        <v>57</v>
      </c>
      <c r="T9">
        <v>60839.78</v>
      </c>
      <c r="U9" t="s">
        <v>72</v>
      </c>
      <c r="V9">
        <v>58564</v>
      </c>
      <c r="W9" t="s">
        <v>60</v>
      </c>
      <c r="X9">
        <v>50272.3</v>
      </c>
    </row>
    <row r="10" spans="1:24">
      <c r="A10" t="s">
        <v>74</v>
      </c>
      <c r="B10" s="2">
        <v>2778</v>
      </c>
      <c r="C10" s="2">
        <v>3065790.51</v>
      </c>
      <c r="D10" s="2">
        <v>22.42</v>
      </c>
      <c r="E10" t="s">
        <v>51</v>
      </c>
      <c r="F10">
        <v>836306.66</v>
      </c>
      <c r="G10" t="s">
        <v>52</v>
      </c>
      <c r="H10">
        <v>298267.38</v>
      </c>
      <c r="I10" t="s">
        <v>53</v>
      </c>
      <c r="J10">
        <v>97104.3</v>
      </c>
      <c r="K10" t="s">
        <v>55</v>
      </c>
      <c r="L10">
        <v>76245.679999999993</v>
      </c>
      <c r="M10" t="s">
        <v>75</v>
      </c>
      <c r="N10">
        <v>70615.03</v>
      </c>
      <c r="O10" t="s">
        <v>57</v>
      </c>
      <c r="P10">
        <v>55346.32</v>
      </c>
      <c r="Q10" t="s">
        <v>54</v>
      </c>
      <c r="R10">
        <v>52559.95</v>
      </c>
      <c r="S10" t="s">
        <v>60</v>
      </c>
      <c r="T10">
        <v>51446.86</v>
      </c>
      <c r="U10" t="s">
        <v>63</v>
      </c>
      <c r="V10">
        <v>49227.519999999997</v>
      </c>
      <c r="W10" t="s">
        <v>69</v>
      </c>
      <c r="X10">
        <v>47384.04</v>
      </c>
    </row>
    <row r="11" spans="1:24">
      <c r="A11" t="s">
        <v>76</v>
      </c>
      <c r="B11" s="2">
        <v>2778</v>
      </c>
      <c r="C11" s="2">
        <v>3038098.62</v>
      </c>
      <c r="D11" s="2">
        <v>22.92</v>
      </c>
      <c r="E11" t="s">
        <v>51</v>
      </c>
      <c r="F11">
        <v>829438.76</v>
      </c>
      <c r="G11" t="s">
        <v>52</v>
      </c>
      <c r="H11">
        <v>293349.98</v>
      </c>
      <c r="I11" t="s">
        <v>53</v>
      </c>
      <c r="J11">
        <v>91560.9</v>
      </c>
      <c r="K11" t="s">
        <v>55</v>
      </c>
      <c r="L11">
        <v>89776.59</v>
      </c>
      <c r="M11" t="s">
        <v>63</v>
      </c>
      <c r="N11">
        <v>66650.87</v>
      </c>
      <c r="O11" t="s">
        <v>75</v>
      </c>
      <c r="P11">
        <v>60440.27</v>
      </c>
      <c r="Q11" t="s">
        <v>57</v>
      </c>
      <c r="R11">
        <v>57521.7</v>
      </c>
      <c r="S11" t="s">
        <v>58</v>
      </c>
      <c r="T11">
        <v>53567.35</v>
      </c>
      <c r="U11" t="s">
        <v>54</v>
      </c>
      <c r="V11">
        <v>52663.55</v>
      </c>
      <c r="W11" t="s">
        <v>60</v>
      </c>
      <c r="X11">
        <v>44414.65</v>
      </c>
    </row>
    <row r="12" spans="1:24">
      <c r="A12" t="s">
        <v>77</v>
      </c>
      <c r="B12" s="2">
        <v>2778</v>
      </c>
      <c r="C12" s="2">
        <v>3152683.91</v>
      </c>
      <c r="D12" s="2">
        <v>22.675000000000001</v>
      </c>
      <c r="E12" t="s">
        <v>51</v>
      </c>
      <c r="F12">
        <v>852164.3</v>
      </c>
      <c r="G12" t="s">
        <v>52</v>
      </c>
      <c r="H12">
        <v>315613.2</v>
      </c>
      <c r="I12" t="s">
        <v>53</v>
      </c>
      <c r="J12">
        <v>100381.18</v>
      </c>
      <c r="K12" t="s">
        <v>55</v>
      </c>
      <c r="L12">
        <v>95865.05</v>
      </c>
      <c r="M12" t="s">
        <v>57</v>
      </c>
      <c r="N12">
        <v>62102.74</v>
      </c>
      <c r="O12" t="s">
        <v>63</v>
      </c>
      <c r="P12">
        <v>61855.45</v>
      </c>
      <c r="Q12" t="s">
        <v>78</v>
      </c>
      <c r="R12">
        <v>54228.89</v>
      </c>
      <c r="S12" t="s">
        <v>54</v>
      </c>
      <c r="T12">
        <v>51794.45</v>
      </c>
      <c r="U12" t="s">
        <v>58</v>
      </c>
      <c r="V12">
        <v>47673.68</v>
      </c>
      <c r="W12" t="s">
        <v>56</v>
      </c>
      <c r="X12">
        <v>43445.83</v>
      </c>
    </row>
    <row r="13" spans="1:24">
      <c r="A13" t="s">
        <v>79</v>
      </c>
      <c r="B13" s="2">
        <v>2778</v>
      </c>
      <c r="C13" s="2">
        <v>3419233.2799999993</v>
      </c>
      <c r="D13" s="2">
        <v>25.82</v>
      </c>
      <c r="E13" t="s">
        <v>51</v>
      </c>
      <c r="F13">
        <v>913953.36</v>
      </c>
      <c r="G13" t="s">
        <v>52</v>
      </c>
      <c r="H13">
        <v>321097.93</v>
      </c>
      <c r="I13" t="s">
        <v>53</v>
      </c>
      <c r="J13">
        <v>123261.08</v>
      </c>
      <c r="K13" t="s">
        <v>55</v>
      </c>
      <c r="L13">
        <v>112605.48</v>
      </c>
      <c r="M13" t="s">
        <v>54</v>
      </c>
      <c r="N13">
        <v>68682.899999999994</v>
      </c>
      <c r="O13" t="s">
        <v>63</v>
      </c>
      <c r="P13">
        <v>66412.98</v>
      </c>
      <c r="Q13" t="s">
        <v>57</v>
      </c>
      <c r="R13">
        <v>62586.84</v>
      </c>
      <c r="S13" t="s">
        <v>58</v>
      </c>
      <c r="T13">
        <v>56169.3</v>
      </c>
      <c r="U13" t="s">
        <v>60</v>
      </c>
      <c r="V13">
        <v>47517.59</v>
      </c>
      <c r="W13" t="s">
        <v>69</v>
      </c>
      <c r="X13">
        <v>47101.43</v>
      </c>
    </row>
    <row r="14" spans="1:24">
      <c r="A14" t="s">
        <v>80</v>
      </c>
      <c r="B14" s="2">
        <v>2778</v>
      </c>
      <c r="C14" s="2">
        <v>3419875.8999999994</v>
      </c>
      <c r="D14" s="2">
        <v>26.364999999999998</v>
      </c>
      <c r="E14" t="s">
        <v>51</v>
      </c>
      <c r="F14">
        <v>914092.22</v>
      </c>
      <c r="G14" t="s">
        <v>52</v>
      </c>
      <c r="H14">
        <v>307550.31</v>
      </c>
      <c r="I14" t="s">
        <v>53</v>
      </c>
      <c r="J14">
        <v>129120.24</v>
      </c>
      <c r="K14" t="s">
        <v>55</v>
      </c>
      <c r="L14">
        <v>124496.12</v>
      </c>
      <c r="M14" t="s">
        <v>63</v>
      </c>
      <c r="N14">
        <v>72807.990000000005</v>
      </c>
      <c r="O14" t="s">
        <v>57</v>
      </c>
      <c r="P14">
        <v>62799.68</v>
      </c>
      <c r="Q14" t="s">
        <v>60</v>
      </c>
      <c r="R14">
        <v>56015.67</v>
      </c>
      <c r="S14" t="s">
        <v>58</v>
      </c>
      <c r="T14">
        <v>53438.63</v>
      </c>
      <c r="U14" t="s">
        <v>69</v>
      </c>
      <c r="V14">
        <v>49598.720000000001</v>
      </c>
      <c r="W14" t="s">
        <v>54</v>
      </c>
      <c r="X14">
        <v>47976.480000000003</v>
      </c>
    </row>
    <row r="15" spans="1:24">
      <c r="A15" t="s">
        <v>81</v>
      </c>
      <c r="B15" s="2">
        <v>2778</v>
      </c>
      <c r="C15" s="2">
        <v>3382182.02</v>
      </c>
      <c r="D15" s="2">
        <v>23.98</v>
      </c>
      <c r="E15" t="s">
        <v>51</v>
      </c>
      <c r="F15">
        <v>1003570.56</v>
      </c>
      <c r="G15" t="s">
        <v>52</v>
      </c>
      <c r="H15">
        <v>316776.38</v>
      </c>
      <c r="I15" t="s">
        <v>55</v>
      </c>
      <c r="J15">
        <v>121569.09</v>
      </c>
      <c r="K15" t="s">
        <v>53</v>
      </c>
      <c r="L15">
        <v>117781.37</v>
      </c>
      <c r="M15" t="s">
        <v>57</v>
      </c>
      <c r="N15">
        <v>60266.48</v>
      </c>
      <c r="O15" t="s">
        <v>60</v>
      </c>
      <c r="P15">
        <v>60258.5</v>
      </c>
      <c r="Q15" t="s">
        <v>63</v>
      </c>
      <c r="R15">
        <v>59383.38</v>
      </c>
      <c r="S15" t="s">
        <v>58</v>
      </c>
      <c r="T15">
        <v>54616.04</v>
      </c>
      <c r="U15" t="s">
        <v>69</v>
      </c>
      <c r="V15">
        <v>42252.55</v>
      </c>
      <c r="W15" t="s">
        <v>54</v>
      </c>
      <c r="X15">
        <v>42205.35</v>
      </c>
    </row>
    <row r="16" spans="1:24">
      <c r="A16" t="s">
        <v>82</v>
      </c>
      <c r="B16" s="2">
        <v>2778</v>
      </c>
      <c r="C16" s="2">
        <v>3358597.2800000003</v>
      </c>
      <c r="D16" s="2">
        <v>23.85</v>
      </c>
      <c r="E16" t="s">
        <v>51</v>
      </c>
      <c r="F16">
        <v>1039662.81</v>
      </c>
      <c r="G16" t="s">
        <v>52</v>
      </c>
      <c r="H16">
        <v>345527.34</v>
      </c>
      <c r="I16" t="s">
        <v>55</v>
      </c>
      <c r="J16">
        <v>111583.76</v>
      </c>
      <c r="K16" t="s">
        <v>60</v>
      </c>
      <c r="L16">
        <v>80494.73</v>
      </c>
      <c r="M16" t="s">
        <v>53</v>
      </c>
      <c r="N16">
        <v>78010.66</v>
      </c>
      <c r="O16" t="s">
        <v>63</v>
      </c>
      <c r="P16">
        <v>61862.879999999997</v>
      </c>
      <c r="Q16" t="s">
        <v>57</v>
      </c>
      <c r="R16">
        <v>59213.78</v>
      </c>
      <c r="S16" t="s">
        <v>58</v>
      </c>
      <c r="T16">
        <v>53343.44</v>
      </c>
      <c r="U16" t="s">
        <v>54</v>
      </c>
      <c r="V16">
        <v>43816.4</v>
      </c>
      <c r="W16" t="s">
        <v>83</v>
      </c>
      <c r="X16">
        <v>41396.660000000003</v>
      </c>
    </row>
    <row r="17" spans="1:24">
      <c r="A17" t="s">
        <v>84</v>
      </c>
      <c r="B17" s="2">
        <v>2778</v>
      </c>
      <c r="C17" s="2">
        <v>3168002.92</v>
      </c>
      <c r="D17" s="2">
        <v>21.754999999999999</v>
      </c>
      <c r="E17" t="s">
        <v>51</v>
      </c>
      <c r="F17">
        <v>1045701.65</v>
      </c>
      <c r="G17" t="s">
        <v>52</v>
      </c>
      <c r="H17">
        <v>317441.03000000003</v>
      </c>
      <c r="I17" t="s">
        <v>55</v>
      </c>
      <c r="J17">
        <v>97804.56</v>
      </c>
      <c r="K17" t="s">
        <v>60</v>
      </c>
      <c r="L17">
        <v>62010.19</v>
      </c>
      <c r="M17" t="s">
        <v>63</v>
      </c>
      <c r="N17">
        <v>58163.07</v>
      </c>
      <c r="O17" t="s">
        <v>53</v>
      </c>
      <c r="P17">
        <v>57273.78</v>
      </c>
      <c r="Q17" t="s">
        <v>57</v>
      </c>
      <c r="R17">
        <v>56004.88</v>
      </c>
      <c r="S17" t="s">
        <v>58</v>
      </c>
      <c r="T17">
        <v>46433.86</v>
      </c>
      <c r="U17" t="s">
        <v>70</v>
      </c>
      <c r="V17">
        <v>41449.360000000001</v>
      </c>
      <c r="W17" t="s">
        <v>54</v>
      </c>
      <c r="X17">
        <v>40713.599999999999</v>
      </c>
    </row>
    <row r="18" spans="1:24">
      <c r="A18" t="s">
        <v>85</v>
      </c>
      <c r="B18" s="2">
        <v>2778</v>
      </c>
      <c r="C18" s="2">
        <v>3157307.5500000003</v>
      </c>
      <c r="D18" s="2">
        <v>21.76</v>
      </c>
      <c r="E18" t="s">
        <v>51</v>
      </c>
      <c r="F18">
        <v>1038596.81</v>
      </c>
      <c r="G18" t="s">
        <v>52</v>
      </c>
      <c r="H18">
        <v>305253.18</v>
      </c>
      <c r="I18" t="s">
        <v>55</v>
      </c>
      <c r="J18">
        <v>105523.45</v>
      </c>
      <c r="K18" t="s">
        <v>53</v>
      </c>
      <c r="L18">
        <v>66337.58</v>
      </c>
      <c r="M18" t="s">
        <v>57</v>
      </c>
      <c r="N18">
        <v>57740.43</v>
      </c>
      <c r="O18" t="s">
        <v>63</v>
      </c>
      <c r="P18">
        <v>54791.41</v>
      </c>
      <c r="Q18" t="s">
        <v>60</v>
      </c>
      <c r="R18">
        <v>51085.1</v>
      </c>
      <c r="S18" t="s">
        <v>58</v>
      </c>
      <c r="T18">
        <v>43464.03</v>
      </c>
      <c r="U18" t="s">
        <v>70</v>
      </c>
      <c r="V18">
        <v>42186.57</v>
      </c>
      <c r="W18" t="s">
        <v>54</v>
      </c>
      <c r="X18">
        <v>41675.360000000001</v>
      </c>
    </row>
    <row r="19" spans="1:24">
      <c r="A19" t="s">
        <v>86</v>
      </c>
      <c r="B19" s="2">
        <v>2778</v>
      </c>
      <c r="C19" s="2">
        <v>3298497.9499999997</v>
      </c>
      <c r="D19" s="2">
        <v>22.77</v>
      </c>
      <c r="E19" t="s">
        <v>51</v>
      </c>
      <c r="F19">
        <v>1010123.99</v>
      </c>
      <c r="G19" t="s">
        <v>52</v>
      </c>
      <c r="H19">
        <v>309892.01</v>
      </c>
      <c r="I19" t="s">
        <v>55</v>
      </c>
      <c r="J19">
        <v>98462.98</v>
      </c>
      <c r="K19" t="s">
        <v>60</v>
      </c>
      <c r="L19">
        <v>80447.23</v>
      </c>
      <c r="M19" t="s">
        <v>53</v>
      </c>
      <c r="N19">
        <v>72261</v>
      </c>
      <c r="O19" t="s">
        <v>63</v>
      </c>
      <c r="P19">
        <v>58664.26</v>
      </c>
      <c r="Q19" t="s">
        <v>70</v>
      </c>
      <c r="R19">
        <v>56489.89</v>
      </c>
      <c r="S19" t="s">
        <v>57</v>
      </c>
      <c r="T19">
        <v>56334.82</v>
      </c>
      <c r="U19" t="s">
        <v>66</v>
      </c>
      <c r="V19">
        <v>50855.85</v>
      </c>
      <c r="W19" t="s">
        <v>54</v>
      </c>
      <c r="X19">
        <v>44741.34</v>
      </c>
    </row>
    <row r="20" spans="1:24">
      <c r="A20" t="s">
        <v>87</v>
      </c>
      <c r="B20" s="2">
        <v>2778</v>
      </c>
      <c r="C20" s="2">
        <v>3282124.11</v>
      </c>
      <c r="D20" s="2">
        <v>23.98</v>
      </c>
      <c r="E20" t="s">
        <v>51</v>
      </c>
      <c r="F20">
        <v>920069.98</v>
      </c>
      <c r="G20" t="s">
        <v>52</v>
      </c>
      <c r="H20">
        <v>303261.31</v>
      </c>
      <c r="I20" t="s">
        <v>55</v>
      </c>
      <c r="J20">
        <v>102158.94</v>
      </c>
      <c r="K20" t="s">
        <v>63</v>
      </c>
      <c r="L20">
        <v>84943.75</v>
      </c>
      <c r="M20" t="s">
        <v>60</v>
      </c>
      <c r="N20">
        <v>74145.09</v>
      </c>
      <c r="O20" t="s">
        <v>53</v>
      </c>
      <c r="P20">
        <v>69422.039999999994</v>
      </c>
      <c r="Q20" t="s">
        <v>70</v>
      </c>
      <c r="R20">
        <v>63536.57</v>
      </c>
      <c r="S20" t="s">
        <v>57</v>
      </c>
      <c r="T20">
        <v>52813.64</v>
      </c>
      <c r="U20" t="s">
        <v>88</v>
      </c>
      <c r="V20">
        <v>51133.98</v>
      </c>
      <c r="W20" t="s">
        <v>58</v>
      </c>
      <c r="X20">
        <v>48453.91</v>
      </c>
    </row>
    <row r="21" spans="1:24">
      <c r="A21" t="s">
        <v>89</v>
      </c>
      <c r="B21" s="2">
        <v>2778</v>
      </c>
      <c r="C21" s="2">
        <v>3195030.59</v>
      </c>
      <c r="D21" s="2">
        <v>22.26</v>
      </c>
      <c r="E21" t="s">
        <v>51</v>
      </c>
      <c r="F21">
        <v>928429.24</v>
      </c>
      <c r="G21" t="s">
        <v>52</v>
      </c>
      <c r="H21">
        <v>295503.96000000002</v>
      </c>
      <c r="I21" t="s">
        <v>55</v>
      </c>
      <c r="J21">
        <v>103017.83</v>
      </c>
      <c r="K21" t="s">
        <v>63</v>
      </c>
      <c r="L21">
        <v>74886.23</v>
      </c>
      <c r="M21" t="s">
        <v>53</v>
      </c>
      <c r="N21">
        <v>68245.55</v>
      </c>
      <c r="O21" t="s">
        <v>60</v>
      </c>
      <c r="P21">
        <v>61650.14</v>
      </c>
      <c r="Q21" t="s">
        <v>70</v>
      </c>
      <c r="R21">
        <v>59522.02</v>
      </c>
      <c r="S21" t="s">
        <v>57</v>
      </c>
      <c r="T21">
        <v>51837.21</v>
      </c>
      <c r="U21" t="s">
        <v>58</v>
      </c>
      <c r="V21">
        <v>48090.19</v>
      </c>
      <c r="W21" t="s">
        <v>54</v>
      </c>
      <c r="X21">
        <v>46105.64</v>
      </c>
    </row>
    <row r="22" spans="1:24">
      <c r="A22" t="s">
        <v>90</v>
      </c>
      <c r="B22" s="2">
        <v>2778</v>
      </c>
      <c r="C22" s="2">
        <v>3034984.75</v>
      </c>
      <c r="D22" s="2">
        <v>20.664999999999999</v>
      </c>
      <c r="E22" t="s">
        <v>51</v>
      </c>
      <c r="F22">
        <v>925940.31</v>
      </c>
      <c r="G22" t="s">
        <v>52</v>
      </c>
      <c r="H22">
        <v>278095.62</v>
      </c>
      <c r="I22" t="s">
        <v>55</v>
      </c>
      <c r="J22">
        <v>85515</v>
      </c>
      <c r="K22" t="s">
        <v>63</v>
      </c>
      <c r="L22">
        <v>58648.51</v>
      </c>
      <c r="M22" t="s">
        <v>53</v>
      </c>
      <c r="N22">
        <v>55605.21</v>
      </c>
      <c r="O22" t="s">
        <v>60</v>
      </c>
      <c r="P22">
        <v>51338.59</v>
      </c>
      <c r="Q22" t="s">
        <v>91</v>
      </c>
      <c r="R22">
        <v>50741.52</v>
      </c>
      <c r="S22" t="s">
        <v>54</v>
      </c>
      <c r="T22">
        <v>47672.62</v>
      </c>
      <c r="U22" t="s">
        <v>57</v>
      </c>
      <c r="V22">
        <v>47551.92</v>
      </c>
      <c r="W22" t="s">
        <v>70</v>
      </c>
      <c r="X22">
        <v>47389.1</v>
      </c>
    </row>
    <row r="25" spans="1:24">
      <c r="A25" t="s">
        <v>92</v>
      </c>
    </row>
    <row r="26" spans="1:24">
      <c r="A26" t="s">
        <v>93</v>
      </c>
    </row>
    <row r="28" spans="1:24">
      <c r="A28" t="s">
        <v>94</v>
      </c>
    </row>
    <row r="29" spans="1:24">
      <c r="A29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Datos 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LT</cp:lastModifiedBy>
  <dcterms:modified xsi:type="dcterms:W3CDTF">2026-10-20T01:17:22Z</dcterms:modified>
</cp:coreProperties>
</file>